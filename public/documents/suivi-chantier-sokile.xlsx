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c04cc6af6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" sheetId="1" r:id="Rd685adbd347042d4"/>
    <x:sheet xmlns:r="http://schemas.openxmlformats.org/officeDocument/2006/relationships" name="Devis" sheetId="2" r:id="R686aa0f732a8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;(#,##0.00);&quot;-&quot;"/>
    <x:numFmt numFmtId="202" formatCode="0%"/>
  </x:numFmts>
  <x:fonts count="7">
    <x:font>
      <x:sz val="11"/>
      <x:name val="Carlito"/>
    </x:font>
    <x:font>
      <x:sz val="11"/>
      <x:color rgb="FF24382E"/>
      <x:name val="Arial"/>
    </x:font>
    <x:font>
      <x:b/>
      <x:sz val="16"/>
      <x:color rgb="FF24382E"/>
      <x:name val="Arial"/>
    </x:font>
    <x:font>
      <x:b/>
      <x:sz val="11"/>
      <x:color rgb="FFFFFFFF"/>
      <x:name val="Arial"/>
    </x:font>
    <x:font>
      <x:sz val="11"/>
      <x:color rgb="FF1648A0"/>
      <x:name val="Arial"/>
    </x:font>
    <x:font>
      <x:sz val="10"/>
      <x:color rgb="FF24382E"/>
      <x:name val="Arial"/>
    </x:font>
    <x:font>
      <x:sz val="11"/>
      <x:color rgb="FF2473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82E"/>
      </x:patternFill>
    </x:fill>
    <x:fill>
      <x:patternFill patternType="solid">
        <x:fgColor rgb="FFFFF3D8"/>
      </x:patternFill>
    </x:fill>
  </x:fills>
  <x:borders count="2">
    <x:border/>
    <x:border>
      <x:bottom style="thin">
        <x:color rgb="FFAA5A3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3024"/>
      </x:font>
      <x:fill>
        <x:patternFill patternType="solid">
          <x:bgColor rgb="FFFCE4DE"/>
        </x:patternFill>
      </x:fill>
    </x:dxf>
    <x:dxf>
      <x:font>
        <x:b/>
        <x:color rgb="FF9C3024"/>
      </x:font>
      <x:fill>
        <x:patternFill patternType="solid"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f409511ec489e" /><Relationship Type="http://schemas.openxmlformats.org/officeDocument/2006/relationships/theme" Target="/xl/theme/theme1.xml" Id="Rd5a6f154c01f4c28" /><Relationship Type="http://schemas.openxmlformats.org/officeDocument/2006/relationships/sharedStrings" Target="/xl/sharedStrings.xml" Id="Rb8f86cff6d924faf" /><Relationship Type="http://schemas.openxmlformats.org/officeDocument/2006/relationships/worksheet" Target="/xl/worksheets/sheet1.xml" Id="Rd685adbd347042d4" /><Relationship Type="http://schemas.openxmlformats.org/officeDocument/2006/relationships/worksheet" Target="/xl/worksheets/sheet2.xml" Id="R686aa0f732a849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82E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Sokilé - Suivi de chantier</x:v>
      </x:c>
      <x:c r="B2" s="3"/>
      <x:c r="C2" s="3"/>
      <x:c r="D2" s="3"/>
      <x:c r="E2" s="3"/>
      <x:c r="F2" s="3"/>
      <x:c r="G2" s="3"/>
      <x:c r="H2" s="3"/>
    </x:row>
    <x:row r="3" ht="25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2" t="str">
        <x:v>Projet</x:v>
      </x:c>
      <x:c r="B4" s="10"/>
      <x:c r="C4" s="10"/>
      <x:c r="D4" s="10"/>
      <x:c r="E4" s="2" t="str">
        <x:v>Devise unique</x:v>
      </x:c>
      <x:c r="F4" s="10"/>
      <x:c r="G4" s="2" t="str">
        <x:v>Mise à jour</x:v>
      </x:c>
      <x:c r="H4" s="11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25" customHeight="1">
      <x:c r="A6" s="2" t="str">
        <x:v>Totaux saisis</x:v>
      </x:c>
      <x:c r="B6" s="2" t="str">
        <x:v>Budget</x:v>
      </x:c>
      <x:c r="C6" s="2" t="str">
        <x:v>Engagé</x:v>
      </x:c>
      <x:c r="D6" s="2" t="str">
        <x:v>Payé</x:v>
      </x:c>
      <x:c r="E6" s="2"/>
      <x:c r="F6" s="2" t="str">
        <x:v>Montants manquants</x:v>
      </x:c>
      <x:c r="G6" s="2" t="str">
        <x:v>sur 60 cellules</x:v>
      </x:c>
      <x:c r="H6" s="2"/>
    </x:row>
    <x:row r="7" ht="25" customHeight="1">
      <x:c r="A7" s="2"/>
      <x:c r="B7" s="14" t="str">
        <x:f>IF(COUNT(B12:B31)=0,"",SUM(B12:B31))</x:f>
      </x:c>
      <x:c r="C7" s="14" t="str">
        <x:f>IF(COUNT(C12:C31)=0,"",SUM(C12:C31))</x:f>
      </x:c>
      <x:c r="D7" s="14" t="str">
        <x:f>IF(COUNT(D12:D31)=0,"",SUM(D12:D31))</x:f>
      </x:c>
      <x:c r="E7" s="2"/>
      <x:c r="F7" s="2" t="n">
        <x:f>COUNTBLANK(B12:D31)</x:f>
        <x:v>60</x:v>
      </x:c>
      <x:c r="G7" s="2"/>
      <x:c r="H7" s="2"/>
    </x:row>
    <x:row r="8" ht="25" customHeight="1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12" t="str">
        <x:v>Jaune : saisie. Montants TTC dans une seule devise. Saisir 0 si aucun montant, laisser vide si inconnu.</x:v>
      </x:c>
      <x:c r="B9" s="12"/>
      <x:c r="C9" s="12"/>
      <x:c r="D9" s="12"/>
      <x:c r="E9" s="12"/>
      <x:c r="F9" s="12"/>
      <x:c r="G9" s="12"/>
      <x:c r="H9" s="12"/>
    </x:row>
    <x:row r="10" ht="25" customHeight="1">
      <x:c r="A10" s="12" t="str">
        <x:v>Engagé = devis acceptés + avenants. Écart positif = dépassement du budget. Les totaux portent uniquement sur les montants saisis.</x:v>
      </x:c>
      <x:c r="B10" s="12"/>
      <x:c r="C10" s="12"/>
      <x:c r="D10" s="12"/>
      <x:c r="E10" s="12"/>
      <x:c r="F10" s="12"/>
      <x:c r="G10" s="12"/>
      <x:c r="H10" s="12"/>
    </x:row>
    <x:row r="11" ht="42" customHeight="1">
      <x:c r="A11" s="8" t="str">
        <x:v>Poste</x:v>
      </x:c>
      <x:c r="B11" s="8" t="str">
        <x:v>Budget prévu</x:v>
      </x:c>
      <x:c r="C11" s="8" t="str">
        <x:v>Engagé TTC</x:v>
      </x:c>
      <x:c r="D11" s="8" t="str">
        <x:v>Payé à ce jour</x:v>
      </x:c>
      <x:c r="E11" s="8" t="str">
        <x:v>Reste à payer</x:v>
      </x:c>
      <x:c r="F11" s="8" t="str">
        <x:v>Écart au budget</x:v>
      </x:c>
      <x:c r="G11" s="8" t="str">
        <x:v>Avancement</x:v>
      </x:c>
      <x:c r="H11" s="8" t="str">
        <x:v>Artisan / référence</x:v>
      </x:c>
    </x:row>
    <x:row r="12" ht="25" customHeight="1">
      <x:c r="A12" s="10" t="str">
        <x:v>Études et relevés</x:v>
      </x:c>
      <x:c r="B12" s="13"/>
      <x:c r="C12" s="13"/>
      <x:c r="D12" s="13"/>
      <x:c r="E12" s="14" t="str">
        <x:f>IF(COUNT(C12:D12)&lt;2,"",C12-D12)</x:f>
      </x:c>
      <x:c r="F12" s="14" t="str">
        <x:f>IF(COUNT(B12:C12)&lt;2,"",C12-B12)</x:f>
      </x:c>
      <x:c r="G12" s="15"/>
      <x:c r="H12" s="10"/>
    </x:row>
    <x:row r="13" ht="25" customHeight="1">
      <x:c r="A13" s="10" t="str">
        <x:v>Autorisations et frais</x:v>
      </x:c>
      <x:c r="B13" s="13"/>
      <x:c r="C13" s="13"/>
      <x:c r="D13" s="13"/>
      <x:c r="E13" s="14" t="str">
        <x:f>IF(COUNT(C13:D13)&lt;2,"",C13-D13)</x:f>
      </x:c>
      <x:c r="F13" s="14" t="str">
        <x:f>IF(COUNT(B13:C13)&lt;2,"",C13-B13)</x:f>
      </x:c>
      <x:c r="G13" s="15"/>
      <x:c r="H13" s="10"/>
    </x:row>
    <x:row r="14" ht="25" customHeight="1">
      <x:c r="A14" s="10" t="str">
        <x:v>Préparation du terrain</x:v>
      </x:c>
      <x:c r="B14" s="13"/>
      <x:c r="C14" s="13"/>
      <x:c r="D14" s="13"/>
      <x:c r="E14" s="14" t="str">
        <x:f>IF(COUNT(C14:D14)&lt;2,"",C14-D14)</x:f>
      </x:c>
      <x:c r="F14" s="14" t="str">
        <x:f>IF(COUNT(B14:C14)&lt;2,"",C14-B14)</x:f>
      </x:c>
      <x:c r="G14" s="15"/>
      <x:c r="H14" s="10"/>
    </x:row>
    <x:row r="15" ht="25" customHeight="1">
      <x:c r="A15" s="10" t="str">
        <x:v>Fondations</x:v>
      </x:c>
      <x:c r="B15" s="13"/>
      <x:c r="C15" s="13"/>
      <x:c r="D15" s="13"/>
      <x:c r="E15" s="14" t="str">
        <x:f>IF(COUNT(C15:D15)&lt;2,"",C15-D15)</x:f>
      </x:c>
      <x:c r="F15" s="14" t="str">
        <x:f>IF(COUNT(B15:C15)&lt;2,"",C15-B15)</x:f>
      </x:c>
      <x:c r="G15" s="15"/>
      <x:c r="H15" s="10"/>
    </x:row>
    <x:row r="16" ht="25" customHeight="1">
      <x:c r="A16" s="10" t="str">
        <x:v>Structure / maçonnerie</x:v>
      </x:c>
      <x:c r="B16" s="13"/>
      <x:c r="C16" s="13"/>
      <x:c r="D16" s="13"/>
      <x:c r="E16" s="14" t="str">
        <x:f>IF(COUNT(C16:D16)&lt;2,"",C16-D16)</x:f>
      </x:c>
      <x:c r="F16" s="14" t="str">
        <x:f>IF(COUNT(B16:C16)&lt;2,"",C16-B16)</x:f>
      </x:c>
      <x:c r="G16" s="15"/>
      <x:c r="H16" s="10"/>
    </x:row>
    <x:row r="17" ht="25" customHeight="1">
      <x:c r="A17" s="10" t="str">
        <x:v>Charpente / toiture</x:v>
      </x:c>
      <x:c r="B17" s="13"/>
      <x:c r="C17" s="13"/>
      <x:c r="D17" s="13"/>
      <x:c r="E17" s="14" t="str">
        <x:f>IF(COUNT(C17:D17)&lt;2,"",C17-D17)</x:f>
      </x:c>
      <x:c r="F17" s="14" t="str">
        <x:f>IF(COUNT(B17:C17)&lt;2,"",C17-B17)</x:f>
      </x:c>
      <x:c r="G17" s="15"/>
      <x:c r="H17" s="10"/>
    </x:row>
    <x:row r="18" ht="25" customHeight="1">
      <x:c r="A18" s="10" t="str">
        <x:v>Menuiseries</x:v>
      </x:c>
      <x:c r="B18" s="13"/>
      <x:c r="C18" s="13"/>
      <x:c r="D18" s="13"/>
      <x:c r="E18" s="14" t="str">
        <x:f>IF(COUNT(C18:D18)&lt;2,"",C18-D18)</x:f>
      </x:c>
      <x:c r="F18" s="14" t="str">
        <x:f>IF(COUNT(B18:C18)&lt;2,"",C18-B18)</x:f>
      </x:c>
      <x:c r="G18" s="15"/>
      <x:c r="H18" s="10"/>
    </x:row>
    <x:row r="19" ht="25" customHeight="1">
      <x:c r="A19" s="10" t="str">
        <x:v>Électricité</x:v>
      </x:c>
      <x:c r="B19" s="13"/>
      <x:c r="C19" s="13"/>
      <x:c r="D19" s="13"/>
      <x:c r="E19" s="14" t="str">
        <x:f>IF(COUNT(C19:D19)&lt;2,"",C19-D19)</x:f>
      </x:c>
      <x:c r="F19" s="14" t="str">
        <x:f>IF(COUNT(B19:C19)&lt;2,"",C19-B19)</x:f>
      </x:c>
      <x:c r="G19" s="15"/>
      <x:c r="H19" s="10"/>
    </x:row>
    <x:row r="20" ht="25" customHeight="1">
      <x:c r="A20" s="10" t="str">
        <x:v>Plomberie</x:v>
      </x:c>
      <x:c r="B20" s="13"/>
      <x:c r="C20" s="13"/>
      <x:c r="D20" s="13"/>
      <x:c r="E20" s="14" t="str">
        <x:f>IF(COUNT(C20:D20)&lt;2,"",C20-D20)</x:f>
      </x:c>
      <x:c r="F20" s="14" t="str">
        <x:f>IF(COUNT(B20:C20)&lt;2,"",C20-B20)</x:f>
      </x:c>
      <x:c r="G20" s="15"/>
      <x:c r="H20" s="10"/>
    </x:row>
    <x:row r="21" ht="25" customHeight="1">
      <x:c r="A21" s="10" t="str">
        <x:v>Assainissement</x:v>
      </x:c>
      <x:c r="B21" s="13"/>
      <x:c r="C21" s="13"/>
      <x:c r="D21" s="13"/>
      <x:c r="E21" s="14" t="str">
        <x:f>IF(COUNT(C21:D21)&lt;2,"",C21-D21)</x:f>
      </x:c>
      <x:c r="F21" s="14" t="str">
        <x:f>IF(COUNT(B21:C21)&lt;2,"",C21-B21)</x:f>
      </x:c>
      <x:c r="G21" s="15"/>
      <x:c r="H21" s="10"/>
    </x:row>
    <x:row r="22" ht="25" customHeight="1">
      <x:c r="A22" s="10" t="str">
        <x:v>Revêtements</x:v>
      </x:c>
      <x:c r="B22" s="13"/>
      <x:c r="C22" s="13"/>
      <x:c r="D22" s="13"/>
      <x:c r="E22" s="14" t="str">
        <x:f>IF(COUNT(C22:D22)&lt;2,"",C22-D22)</x:f>
      </x:c>
      <x:c r="F22" s="14" t="str">
        <x:f>IF(COUNT(B22:C22)&lt;2,"",C22-B22)</x:f>
      </x:c>
      <x:c r="G22" s="15"/>
      <x:c r="H22" s="10"/>
    </x:row>
    <x:row r="23" ht="25" customHeight="1">
      <x:c r="A23" s="10" t="str">
        <x:v>Peinture</x:v>
      </x:c>
      <x:c r="B23" s="13"/>
      <x:c r="C23" s="13"/>
      <x:c r="D23" s="13"/>
      <x:c r="E23" s="14" t="str">
        <x:f>IF(COUNT(C23:D23)&lt;2,"",C23-D23)</x:f>
      </x:c>
      <x:c r="F23" s="14" t="str">
        <x:f>IF(COUNT(B23:C23)&lt;2,"",C23-B23)</x:f>
      </x:c>
      <x:c r="G23" s="15"/>
      <x:c r="H23" s="10"/>
    </x:row>
    <x:row r="24" ht="25" customHeight="1">
      <x:c r="A24" s="10" t="str">
        <x:v>Équipements</x:v>
      </x:c>
      <x:c r="B24" s="13"/>
      <x:c r="C24" s="13"/>
      <x:c r="D24" s="13"/>
      <x:c r="E24" s="14" t="str">
        <x:f>IF(COUNT(C24:D24)&lt;2,"",C24-D24)</x:f>
      </x:c>
      <x:c r="F24" s="14" t="str">
        <x:f>IF(COUNT(B24:C24)&lt;2,"",C24-B24)</x:f>
      </x:c>
      <x:c r="G24" s="15"/>
      <x:c r="H24" s="10"/>
    </x:row>
    <x:row r="25" ht="25" customHeight="1">
      <x:c r="A25" s="10" t="str">
        <x:v>Aménagements extérieurs</x:v>
      </x:c>
      <x:c r="B25" s="13"/>
      <x:c r="C25" s="13"/>
      <x:c r="D25" s="13"/>
      <x:c r="E25" s="14" t="str">
        <x:f>IF(COUNT(C25:D25)&lt;2,"",C25-D25)</x:f>
      </x:c>
      <x:c r="F25" s="14" t="str">
        <x:f>IF(COUNT(B25:C25)&lt;2,"",C25-B25)</x:f>
      </x:c>
      <x:c r="G25" s="15"/>
      <x:c r="H25" s="10"/>
    </x:row>
    <x:row r="26" ht="25" customHeight="1">
      <x:c r="A26" s="10" t="str">
        <x:v>Raccordements</x:v>
      </x:c>
      <x:c r="B26" s="13"/>
      <x:c r="C26" s="13"/>
      <x:c r="D26" s="13"/>
      <x:c r="E26" s="14" t="str">
        <x:f>IF(COUNT(C26:D26)&lt;2,"",C26-D26)</x:f>
      </x:c>
      <x:c r="F26" s="14" t="str">
        <x:f>IF(COUNT(B26:C26)&lt;2,"",C26-B26)</x:f>
      </x:c>
      <x:c r="G26" s="15"/>
      <x:c r="H26" s="10"/>
    </x:row>
    <x:row r="27" ht="25" customHeight="1">
      <x:c r="A27" s="10" t="str">
        <x:v>Transport / logistique</x:v>
      </x:c>
      <x:c r="B27" s="13"/>
      <x:c r="C27" s="13"/>
      <x:c r="D27" s="13"/>
      <x:c r="E27" s="14" t="str">
        <x:f>IF(COUNT(C27:D27)&lt;2,"",C27-D27)</x:f>
      </x:c>
      <x:c r="F27" s="14" t="str">
        <x:f>IF(COUNT(B27:C27)&lt;2,"",C27-B27)</x:f>
      </x:c>
      <x:c r="G27" s="15"/>
      <x:c r="H27" s="10"/>
    </x:row>
    <x:row r="28" ht="25" customHeight="1">
      <x:c r="A28" s="10" t="str">
        <x:v>Contrôle / réception</x:v>
      </x:c>
      <x:c r="B28" s="13"/>
      <x:c r="C28" s="13"/>
      <x:c r="D28" s="13"/>
      <x:c r="E28" s="14" t="str">
        <x:f>IF(COUNT(C28:D28)&lt;2,"",C28-D28)</x:f>
      </x:c>
      <x:c r="F28" s="14" t="str">
        <x:f>IF(COUNT(B28:C28)&lt;2,"",C28-B28)</x:f>
      </x:c>
      <x:c r="G28" s="15"/>
      <x:c r="H28" s="10"/>
    </x:row>
    <x:row r="29" ht="25" customHeight="1">
      <x:c r="A29" s="10" t="str">
        <x:v>Autre poste 1</x:v>
      </x:c>
      <x:c r="B29" s="13"/>
      <x:c r="C29" s="13"/>
      <x:c r="D29" s="13"/>
      <x:c r="E29" s="14" t="str">
        <x:f>IF(COUNT(C29:D29)&lt;2,"",C29-D29)</x:f>
      </x:c>
      <x:c r="F29" s="14" t="str">
        <x:f>IF(COUNT(B29:C29)&lt;2,"",C29-B29)</x:f>
      </x:c>
      <x:c r="G29" s="15"/>
      <x:c r="H29" s="10"/>
    </x:row>
    <x:row r="30" ht="25" customHeight="1">
      <x:c r="A30" s="10" t="str">
        <x:v>Autre poste 2</x:v>
      </x:c>
      <x:c r="B30" s="13"/>
      <x:c r="C30" s="13"/>
      <x:c r="D30" s="13"/>
      <x:c r="E30" s="14" t="str">
        <x:f>IF(COUNT(C30:D30)&lt;2,"",C30-D30)</x:f>
      </x:c>
      <x:c r="F30" s="14" t="str">
        <x:f>IF(COUNT(B30:C30)&lt;2,"",C30-B30)</x:f>
      </x:c>
      <x:c r="G30" s="15"/>
      <x:c r="H30" s="10"/>
    </x:row>
    <x:row r="31" ht="25" customHeight="1">
      <x:c r="A31" s="10" t="str">
        <x:v>Autre poste 3</x:v>
      </x:c>
      <x:c r="B31" s="13"/>
      <x:c r="C31" s="13"/>
      <x:c r="D31" s="13"/>
      <x:c r="E31" s="14" t="str">
        <x:f>IF(COUNT(C31:D31)&lt;2,"",C31-D31)</x:f>
      </x:c>
      <x:c r="F31" s="14" t="str">
        <x:f>IF(COUNT(B31:C31)&lt;2,"",C31-B31)</x:f>
      </x:c>
      <x:c r="G31" s="15"/>
      <x:c r="H31" s="10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12" t="str">
        <x:v>20 postes disponibles. Renommer les postes inutilisés et saisir 0 lorsque le coût est confirmé nul.</x:v>
      </x:c>
      <x:c r="B33" s="12"/>
      <x:c r="C33" s="12"/>
      <x:c r="D33" s="12"/>
      <x:c r="E33" s="12"/>
      <x:c r="F33" s="12"/>
      <x:c r="G33" s="12"/>
      <x:c r="H33" s="12"/>
    </x:row>
    <x:row r="34" ht="25" customHeight="1">
      <x:c r="A34" s="12" t="str">
        <x:v>Un reste à payer négatif signale des paiements supérieurs au montant engagé : vérifier les saisies et les avenants.</x:v>
      </x:c>
      <x:c r="B34" s="12"/>
      <x:c r="C34" s="12"/>
      <x:c r="D34" s="12"/>
      <x:c r="E34" s="12"/>
      <x:c r="F34" s="12"/>
      <x:c r="G34" s="12"/>
      <x:c r="H34" s="12"/>
    </x:row>
    <x:row r="35" ht="25" customHeight="1">
      <x:c r="A35" s="12" t="str">
        <x:v>Avancement : estimation physique du chantier, indépendante des paiements. Conserver les devis, factures et reçus.</x:v>
      </x:c>
      <x:c r="B35" s="12"/>
      <x:c r="C35" s="12"/>
      <x:c r="D35" s="12"/>
      <x:c r="E35" s="12"/>
      <x:c r="F35" s="12"/>
      <x:c r="G35" s="12"/>
      <x:c r="H35" s="12"/>
    </x:row>
  </x:sheetData>
  <x:conditionalFormatting sqref="F12:F31">
    <x:cfRule type="cellIs" dxfId="0" priority="1" operator="greaterThan">
      <x:formula>0</x:formula>
    </x:cfRule>
  </x:conditionalFormatting>
  <x:conditionalFormatting sqref="E12:E31">
    <x:cfRule type="cellIs" dxfId="1" priority="2" operator="lessThan">
      <x:formula>0</x:formula>
    </x:cfRule>
  </x:conditionalFormatting>
  <x:dataValidations count="2">
    <x:dataValidation type="decimal" operator="greaterThanOrEqual" sqref="B12:D31">
      <x:formula1>0</x:formula1>
    </x:dataValidation>
    <x:dataValidation type="decimal" operator="between" sqref="G12:G31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82E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21" hidden="0" customWidth="1"/>
    <x:col min="3" max="3" width="21" hidden="0" customWidth="1"/>
    <x:col min="4" max="4" width="21" hidden="0" customWidth="1"/>
    <x:col min="5" max="5" width="23" hidden="0" customWidth="1"/>
    <x:col min="6" max="6" width="5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Sokilé - Comparer les devis</x:v>
      </x:c>
      <x:c r="B2" s="3"/>
      <x:c r="C2" s="3"/>
      <x:c r="D2" s="3"/>
      <x:c r="E2" s="3"/>
      <x:c r="F2" s="3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2" t="str">
        <x:v>Devise</x:v>
      </x:c>
      <x:c r="B4" s="2" t="str">
        <x:f>IF(Suivi!F4="","À renseigner dans Suivi",Suivi!F4)</x:f>
        <x:v>À renseigner dans Suivi</x:v>
      </x:c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2" t="str">
        <x:v>Artisan / devis</x:v>
      </x:c>
      <x:c r="B6" s="10"/>
      <x:c r="C6" s="10"/>
      <x:c r="D6" s="10"/>
      <x:c r="E6" s="2"/>
      <x:c r="F6" s="2"/>
    </x:row>
    <x:row r="7" ht="25" customHeight="1">
      <x:c r="A7" s="2" t="str">
        <x:v>Date du devis</x:v>
      </x:c>
      <x:c r="B7" s="11"/>
      <x:c r="C7" s="11"/>
      <x:c r="D7" s="11"/>
      <x:c r="E7" s="2"/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12" t="str">
        <x:v>Comparer le même périmètre : quantités, qualité, transport, taxes, délais et garanties. Reporter le devis accepté dans Suivi.</x:v>
      </x:c>
      <x:c r="B9" s="12"/>
      <x:c r="C9" s="12"/>
      <x:c r="D9" s="12"/>
      <x:c r="E9" s="12"/>
      <x:c r="F9" s="12"/>
    </x:row>
    <x:row r="10" ht="25" customHeight="1">
      <x:c r="A10" s="12" t="str">
        <x:v>Jaune : saisie. Une case vide signifie devis absent. Le minimum est calculé uniquement après saisie des trois montants.</x:v>
      </x:c>
      <x:c r="B10" s="12"/>
      <x:c r="C10" s="12"/>
      <x:c r="D10" s="12"/>
      <x:c r="E10" s="12"/>
      <x:c r="F10" s="12"/>
    </x:row>
    <x:row r="11" ht="42" customHeight="1">
      <x:c r="A11" s="8" t="str">
        <x:v>Poste</x:v>
      </x:c>
      <x:c r="B11" s="8" t="str">
        <x:v>Devis A TTC</x:v>
      </x:c>
      <x:c r="C11" s="8" t="str">
        <x:v>Devis B TTC</x:v>
      </x:c>
      <x:c r="D11" s="8" t="str">
        <x:v>Devis C TTC</x:v>
      </x:c>
      <x:c r="E11" s="8" t="str">
        <x:v>Minimum des 3</x:v>
      </x:c>
      <x:c r="F11" s="8" t="str">
        <x:v>Périmètre / exclusions / délai</x:v>
      </x:c>
    </x:row>
    <x:row r="12" ht="25" customHeight="1">
      <x:c r="A12" s="16" t="str">
        <x:f>Suivi!A12</x:f>
        <x:v>Études et relevés</x:v>
      </x:c>
      <x:c r="B12" s="13"/>
      <x:c r="C12" s="13"/>
      <x:c r="D12" s="13"/>
      <x:c r="E12" s="14" t="str">
        <x:f>IF(COUNT(B12:D12)&lt;3,"",MIN(B12:D12))</x:f>
      </x:c>
      <x:c r="F12" s="10"/>
    </x:row>
    <x:row r="13" ht="25" customHeight="1">
      <x:c r="A13" s="16" t="str">
        <x:f>Suivi!A13</x:f>
        <x:v>Autorisations et frais</x:v>
      </x:c>
      <x:c r="B13" s="13"/>
      <x:c r="C13" s="13"/>
      <x:c r="D13" s="13"/>
      <x:c r="E13" s="14" t="str">
        <x:f>IF(COUNT(B13:D13)&lt;3,"",MIN(B13:D13))</x:f>
      </x:c>
      <x:c r="F13" s="10"/>
    </x:row>
    <x:row r="14" ht="25" customHeight="1">
      <x:c r="A14" s="16" t="str">
        <x:f>Suivi!A14</x:f>
        <x:v>Préparation du terrain</x:v>
      </x:c>
      <x:c r="B14" s="13"/>
      <x:c r="C14" s="13"/>
      <x:c r="D14" s="13"/>
      <x:c r="E14" s="14" t="str">
        <x:f>IF(COUNT(B14:D14)&lt;3,"",MIN(B14:D14))</x:f>
      </x:c>
      <x:c r="F14" s="10"/>
    </x:row>
    <x:row r="15" ht="25" customHeight="1">
      <x:c r="A15" s="16" t="str">
        <x:f>Suivi!A15</x:f>
        <x:v>Fondations</x:v>
      </x:c>
      <x:c r="B15" s="13"/>
      <x:c r="C15" s="13"/>
      <x:c r="D15" s="13"/>
      <x:c r="E15" s="14" t="str">
        <x:f>IF(COUNT(B15:D15)&lt;3,"",MIN(B15:D15))</x:f>
      </x:c>
      <x:c r="F15" s="10"/>
    </x:row>
    <x:row r="16" ht="25" customHeight="1">
      <x:c r="A16" s="16" t="str">
        <x:f>Suivi!A16</x:f>
        <x:v>Structure / maçonnerie</x:v>
      </x:c>
      <x:c r="B16" s="13"/>
      <x:c r="C16" s="13"/>
      <x:c r="D16" s="13"/>
      <x:c r="E16" s="14" t="str">
        <x:f>IF(COUNT(B16:D16)&lt;3,"",MIN(B16:D16))</x:f>
      </x:c>
      <x:c r="F16" s="10"/>
    </x:row>
    <x:row r="17" ht="25" customHeight="1">
      <x:c r="A17" s="16" t="str">
        <x:f>Suivi!A17</x:f>
        <x:v>Charpente / toiture</x:v>
      </x:c>
      <x:c r="B17" s="13"/>
      <x:c r="C17" s="13"/>
      <x:c r="D17" s="13"/>
      <x:c r="E17" s="14" t="str">
        <x:f>IF(COUNT(B17:D17)&lt;3,"",MIN(B17:D17))</x:f>
      </x:c>
      <x:c r="F17" s="10"/>
    </x:row>
    <x:row r="18" ht="25" customHeight="1">
      <x:c r="A18" s="16" t="str">
        <x:f>Suivi!A18</x:f>
        <x:v>Menuiseries</x:v>
      </x:c>
      <x:c r="B18" s="13"/>
      <x:c r="C18" s="13"/>
      <x:c r="D18" s="13"/>
      <x:c r="E18" s="14" t="str">
        <x:f>IF(COUNT(B18:D18)&lt;3,"",MIN(B18:D18))</x:f>
      </x:c>
      <x:c r="F18" s="10"/>
    </x:row>
    <x:row r="19" ht="25" customHeight="1">
      <x:c r="A19" s="16" t="str">
        <x:f>Suivi!A19</x:f>
        <x:v>Électricité</x:v>
      </x:c>
      <x:c r="B19" s="13"/>
      <x:c r="C19" s="13"/>
      <x:c r="D19" s="13"/>
      <x:c r="E19" s="14" t="str">
        <x:f>IF(COUNT(B19:D19)&lt;3,"",MIN(B19:D19))</x:f>
      </x:c>
      <x:c r="F19" s="10"/>
    </x:row>
    <x:row r="20" ht="25" customHeight="1">
      <x:c r="A20" s="16" t="str">
        <x:f>Suivi!A20</x:f>
        <x:v>Plomberie</x:v>
      </x:c>
      <x:c r="B20" s="13"/>
      <x:c r="C20" s="13"/>
      <x:c r="D20" s="13"/>
      <x:c r="E20" s="14" t="str">
        <x:f>IF(COUNT(B20:D20)&lt;3,"",MIN(B20:D20))</x:f>
      </x:c>
      <x:c r="F20" s="10"/>
    </x:row>
    <x:row r="21" ht="25" customHeight="1">
      <x:c r="A21" s="16" t="str">
        <x:f>Suivi!A21</x:f>
        <x:v>Assainissement</x:v>
      </x:c>
      <x:c r="B21" s="13"/>
      <x:c r="C21" s="13"/>
      <x:c r="D21" s="13"/>
      <x:c r="E21" s="14" t="str">
        <x:f>IF(COUNT(B21:D21)&lt;3,"",MIN(B21:D21))</x:f>
      </x:c>
      <x:c r="F21" s="10"/>
    </x:row>
    <x:row r="22" ht="25" customHeight="1">
      <x:c r="A22" s="16" t="str">
        <x:f>Suivi!A22</x:f>
        <x:v>Revêtements</x:v>
      </x:c>
      <x:c r="B22" s="13"/>
      <x:c r="C22" s="13"/>
      <x:c r="D22" s="13"/>
      <x:c r="E22" s="14" t="str">
        <x:f>IF(COUNT(B22:D22)&lt;3,"",MIN(B22:D22))</x:f>
      </x:c>
      <x:c r="F22" s="10"/>
    </x:row>
    <x:row r="23" ht="25" customHeight="1">
      <x:c r="A23" s="16" t="str">
        <x:f>Suivi!A23</x:f>
        <x:v>Peinture</x:v>
      </x:c>
      <x:c r="B23" s="13"/>
      <x:c r="C23" s="13"/>
      <x:c r="D23" s="13"/>
      <x:c r="E23" s="14" t="str">
        <x:f>IF(COUNT(B23:D23)&lt;3,"",MIN(B23:D23))</x:f>
      </x:c>
      <x:c r="F23" s="10"/>
    </x:row>
    <x:row r="24" ht="25" customHeight="1">
      <x:c r="A24" s="16" t="str">
        <x:f>Suivi!A24</x:f>
        <x:v>Équipements</x:v>
      </x:c>
      <x:c r="B24" s="13"/>
      <x:c r="C24" s="13"/>
      <x:c r="D24" s="13"/>
      <x:c r="E24" s="14" t="str">
        <x:f>IF(COUNT(B24:D24)&lt;3,"",MIN(B24:D24))</x:f>
      </x:c>
      <x:c r="F24" s="10"/>
    </x:row>
    <x:row r="25" ht="25" customHeight="1">
      <x:c r="A25" s="16" t="str">
        <x:f>Suivi!A25</x:f>
        <x:v>Aménagements extérieurs</x:v>
      </x:c>
      <x:c r="B25" s="13"/>
      <x:c r="C25" s="13"/>
      <x:c r="D25" s="13"/>
      <x:c r="E25" s="14" t="str">
        <x:f>IF(COUNT(B25:D25)&lt;3,"",MIN(B25:D25))</x:f>
      </x:c>
      <x:c r="F25" s="10"/>
    </x:row>
    <x:row r="26" ht="25" customHeight="1">
      <x:c r="A26" s="16" t="str">
        <x:f>Suivi!A26</x:f>
        <x:v>Raccordements</x:v>
      </x:c>
      <x:c r="B26" s="13"/>
      <x:c r="C26" s="13"/>
      <x:c r="D26" s="13"/>
      <x:c r="E26" s="14" t="str">
        <x:f>IF(COUNT(B26:D26)&lt;3,"",MIN(B26:D26))</x:f>
      </x:c>
      <x:c r="F26" s="10"/>
    </x:row>
    <x:row r="27" ht="25" customHeight="1">
      <x:c r="A27" s="16" t="str">
        <x:f>Suivi!A27</x:f>
        <x:v>Transport / logistique</x:v>
      </x:c>
      <x:c r="B27" s="13"/>
      <x:c r="C27" s="13"/>
      <x:c r="D27" s="13"/>
      <x:c r="E27" s="14" t="str">
        <x:f>IF(COUNT(B27:D27)&lt;3,"",MIN(B27:D27))</x:f>
      </x:c>
      <x:c r="F27" s="10"/>
    </x:row>
    <x:row r="28" ht="25" customHeight="1">
      <x:c r="A28" s="16" t="str">
        <x:f>Suivi!A28</x:f>
        <x:v>Contrôle / réception</x:v>
      </x:c>
      <x:c r="B28" s="13"/>
      <x:c r="C28" s="13"/>
      <x:c r="D28" s="13"/>
      <x:c r="E28" s="14" t="str">
        <x:f>IF(COUNT(B28:D28)&lt;3,"",MIN(B28:D28))</x:f>
      </x:c>
      <x:c r="F28" s="10"/>
    </x:row>
    <x:row r="29" ht="25" customHeight="1">
      <x:c r="A29" s="16" t="str">
        <x:f>Suivi!A29</x:f>
        <x:v>Autre poste 1</x:v>
      </x:c>
      <x:c r="B29" s="13"/>
      <x:c r="C29" s="13"/>
      <x:c r="D29" s="13"/>
      <x:c r="E29" s="14" t="str">
        <x:f>IF(COUNT(B29:D29)&lt;3,"",MIN(B29:D29))</x:f>
      </x:c>
      <x:c r="F29" s="10"/>
    </x:row>
    <x:row r="30" ht="25" customHeight="1">
      <x:c r="A30" s="16" t="str">
        <x:f>Suivi!A30</x:f>
        <x:v>Autre poste 2</x:v>
      </x:c>
      <x:c r="B30" s="13"/>
      <x:c r="C30" s="13"/>
      <x:c r="D30" s="13"/>
      <x:c r="E30" s="14" t="str">
        <x:f>IF(COUNT(B30:D30)&lt;3,"",MIN(B30:D30))</x:f>
      </x:c>
      <x:c r="F30" s="10"/>
    </x:row>
    <x:row r="31" ht="25" customHeight="1">
      <x:c r="A31" s="16" t="str">
        <x:f>Suivi!A31</x:f>
        <x:v>Autre poste 3</x:v>
      </x:c>
      <x:c r="B31" s="13"/>
      <x:c r="C31" s="13"/>
      <x:c r="D31" s="13"/>
      <x:c r="E31" s="14" t="str">
        <x:f>IF(COUNT(B31:D31)&lt;3,"",MIN(B31:D31))</x:f>
      </x:c>
      <x:c r="F31" s="10"/>
    </x:row>
    <x:row r="32" ht="25" customHeight="1">
      <x:c r="A32" s="2"/>
      <x:c r="B32" s="2"/>
      <x:c r="C32" s="2"/>
      <x:c r="D32" s="2"/>
      <x:c r="E32" s="2"/>
      <x:c r="F32" s="2"/>
    </x:row>
    <x:row r="33" ht="25" customHeight="1">
      <x:c r="A33" s="12" t="str">
        <x:v>Le devis le moins cher ne garantit pas la qualité ni la conformité. Vérifier le contenu avant de choisir.</x:v>
      </x:c>
      <x:c r="B33" s="12"/>
      <x:c r="C33" s="12"/>
      <x:c r="D33" s="12"/>
      <x:c r="E33" s="12"/>
      <x:c r="F33" s="12"/>
    </x:row>
    <x:row r="34" ht="25" customHeight="1">
      <x:c r="A34" s="12" t="str">
        <x:v>Les montants sont à saisir par l’utilisateur : aucune estimation de prix ni conversion de devise n’est préremplie.</x:v>
      </x:c>
      <x:c r="B34" s="12"/>
      <x:c r="C34" s="12"/>
      <x:c r="D34" s="12"/>
      <x:c r="E34" s="12"/>
      <x:c r="F34" s="12"/>
    </x:row>
    <x:row r="35" ht="25" customHeight="1">
      <x:c r="A35" s="2"/>
      <x:c r="B35" s="2"/>
      <x:c r="C35" s="2"/>
      <x:c r="D35" s="2"/>
      <x:c r="E35" s="2"/>
      <x:c r="F35" s="2"/>
    </x:row>
  </x:sheetData>
  <x:dataValidations count="1">
    <x:dataValidation type="decimal" operator="greaterThanOrEqual" sqref="B12:D31">
      <x:formula1>0</x:formula1>
    </x:dataValidation>
  </x:dataValidations>
  <x:pageMargins left="0.7" right="0.7" top="0.75" bottom="0.75" header="0.3" footer="0.3"/>
</x:worksheet>
</file>